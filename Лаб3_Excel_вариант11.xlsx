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домост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<sst xmlns="http://schemas.openxmlformats.org/spreadsheetml/2006/main" count="40" uniqueCount="39">
  <si>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Ведомость расчёта заработной платы отдела</t>
  </si>
  <si>
    <t xml:space="preserve">Параметры расчёта</t>
  </si>
  <si>
    <t xml:space="preserve">Подоходный налог</t>
  </si>
  <si>
    <t xml:space="preserve">Надбавка от оклада</t>
  </si>
  <si>
    <t xml:space="preserve">Стаж для надбавки, более (лет)</t>
  </si>
  <si>
    <t xml:space="preserve">№</t>
  </si>
  <si>
    <t xml:space="preserve">Ф.И.О.</t>
  </si>
  <si>
    <t xml:space="preserve">Должность</t>
  </si>
  <si>
    <t xml:space="preserve">Оклад, руб.</t>
  </si>
  <si>
    <t xml:space="preserve">Стаж, лет</t>
  </si>
  <si>
    <t xml:space="preserve">Надбавка, руб.</t>
  </si>
  <si>
    <t xml:space="preserve">Начислено, руб.</t>
  </si>
  <si>
    <t xml:space="preserve">Подоходный налог, руб.</t>
  </si>
  <si>
    <t xml:space="preserve">К выдаче, руб.</t>
  </si>
  <si>
    <t xml:space="preserve">Крамаренко Олег Витальевич</t>
  </si>
  <si>
    <t xml:space="preserve">Начальник отдела</t>
  </si>
  <si>
    <t xml:space="preserve">Шевченко Марина Игоревна</t>
  </si>
  <si>
    <t xml:space="preserve">Ведущий инженер</t>
  </si>
  <si>
    <t xml:space="preserve">Дьяченко Павел Сергеевич</t>
  </si>
  <si>
    <t xml:space="preserve">Инженер-программист</t>
  </si>
  <si>
    <t xml:space="preserve">Тищенко Алина Романовна</t>
  </si>
  <si>
    <t xml:space="preserve">Бухгалтер</t>
  </si>
  <si>
    <t xml:space="preserve">Гончаров Артём Николаевич</t>
  </si>
  <si>
    <t xml:space="preserve">Системный администратор</t>
  </si>
  <si>
    <t xml:space="preserve">Лысенко Виктория Андреевна</t>
  </si>
  <si>
    <t xml:space="preserve">Экономист</t>
  </si>
  <si>
    <t xml:space="preserve">Рябов Константин Юрьевич</t>
  </si>
  <si>
    <t xml:space="preserve">Аналитик</t>
  </si>
  <si>
    <t xml:space="preserve">Назаренко Елена Павловна</t>
  </si>
  <si>
    <t xml:space="preserve">Секретарь</t>
  </si>
  <si>
    <t xml:space="preserve">Билык Денис Александрович</t>
  </si>
  <si>
    <t xml:space="preserve">Золотарёв Иван Михайлович</t>
  </si>
  <si>
    <t xml:space="preserve">Юрисконсульт</t>
  </si>
  <si>
    <t xml:space="preserve">ИТОГО</t>
  </si>
  <si>
    <t xml:space="preserve">Пояснения</t>
  </si>
  <si>
    <t xml:space="preserve">Синим цветом выделены исходные данные (их можно менять, остальное пересчитается).</t>
  </si>
  <si>
    <t xml:space="preserve">Надбавка = 10 % от оклада, если стаж больше 5 лет; иначе 0.</t>
  </si>
  <si>
    <t xml:space="preserve">Подоходный налог 13 % считается от суммы оклад + надбавка (допущение).</t>
  </si>
  <si>
    <t xml:space="preserve">К выдаче = оклад + надбавка − подоходный налог.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</si>
</sst>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Заработная плата сотрудников (к выдаче)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Ведомость!I8</c:f>
              <c:strCache>
                <c:ptCount val="1"/>
                <c:pt idx="0">
                  <c:v>К выдаче, руб.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Ведомость!$B$9:$B$18</c:f>
              <c:strCache>
                <c:ptCount val="10"/>
                <c:pt idx="0">
                  <c:v>Крамаренко Олег Витальевич</c:v>
                </c:pt>
                <c:pt idx="1">
                  <c:v>Шевченко Марина Игоревна</c:v>
                </c:pt>
                <c:pt idx="2">
                  <c:v>Дьяченко Павел Сергеевич</c:v>
                </c:pt>
                <c:pt idx="3">
                  <c:v>Тищенко Алина Романовна</c:v>
                </c:pt>
                <c:pt idx="4">
                  <c:v>Гончаров Артём Николаевич</c:v>
                </c:pt>
                <c:pt idx="5">
                  <c:v>Лысенко Виктория Андреевна</c:v>
                </c:pt>
                <c:pt idx="6">
                  <c:v>Рябов Константин Юрьевич</c:v>
                </c:pt>
                <c:pt idx="7">
                  <c:v>Назаренко Елена Павловна</c:v>
                </c:pt>
                <c:pt idx="8">
                  <c:v>Билык Денис Александрович</c:v>
                </c:pt>
                <c:pt idx="9">
                  <c:v>Золотарёв Иван Михайлович</c:v>
                </c:pt>
              </c:strCache>
            </c:strRef>
          </c:cat>
          <c:val>
            <c:numRef>
              <c:f>Ведомость!$I$9:$I$18</c:f>
              <c:numCache>
                <c:formatCode>#,##0.00</c:formatCode>
                <c:ptCount val="10"/>
                <c:pt idx="0">
                  <c:v>90915</c:v>
                </c:pt>
                <c:pt idx="1">
                  <c:v>74646</c:v>
                </c:pt>
                <c:pt idx="2">
                  <c:v>56550</c:v>
                </c:pt>
                <c:pt idx="3">
                  <c:v>55506</c:v>
                </c:pt>
                <c:pt idx="4">
                  <c:v>53940</c:v>
                </c:pt>
                <c:pt idx="5">
                  <c:v>47850</c:v>
                </c:pt>
                <c:pt idx="6">
                  <c:v>66990</c:v>
                </c:pt>
                <c:pt idx="7">
                  <c:v>36540</c:v>
                </c:pt>
                <c:pt idx="8">
                  <c:v>58290</c:v>
                </c:pt>
                <c:pt idx="9">
                  <c:v>57420</c:v>
                </c:pt>
              </c:numCache>
            </c:numRef>
          </c:val>
        </c:ser>
        <c:gapWidth val="150"/>
        <c:overlap val="0"/>
        <c:axId val="53196987"/>
        <c:axId val="48182792"/>
      </c:barChart>
      <c:catAx>
        <c:axId val="531969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82792"/>
        <c:crosses val="autoZero"/>
        <c:auto val="1"/>
        <c:lblAlgn val="ctr"/>
        <c:lblOffset val="100"/>
        <c:noMultiLvlLbl val="0"/>
      </c:catAx>
      <c:valAx>
        <c:axId val="48182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руб.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6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160560</xdr:rowOff>
    </xdr:from>
    <xdr:to>
      <xdr:col>6</xdr:col>
      <xdr:colOff>800640</xdr:colOff>
      <xdr:row>44</xdr:row>
      <xdr:rowOff>140760</xdr:rowOff>
    </xdr:to>
    <xdr:graphicFrame>
      <xdr:nvGraphicFramePr>
        <xdr:cNvPr id="0" name="Chart 1"/>
        <xdr:cNvGraphicFramePr/>
      </xdr:nvGraphicFramePr>
      <xdr:xfrm>
        <a:off x="0" y="51912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4" t="n">
        <v>0.13</v>
      </c>
    </row>
    <row r="5" customFormat="false" ht="15" hidden="false" customHeight="false" outlineLevel="0" collapsed="false">
      <c r="A5" s="3" t="s">
        <v>3</v>
      </c>
      <c r="B5" s="3"/>
      <c r="C5" s="3"/>
      <c r="D5" s="4" t="n">
        <v>0.1</v>
      </c>
    </row>
    <row r="6" customFormat="false" ht="15" hidden="false" customHeight="false" outlineLevel="0" collapsed="false">
      <c r="A6" s="3" t="s">
        <v>4</v>
      </c>
      <c r="B6" s="3"/>
      <c r="C6" s="3"/>
      <c r="D6" s="5" t="n">
        <v>5</v>
      </c>
    </row>
    <row r="8" customFormat="false" ht="33.75" hidden="false" customHeight="tru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</row>
    <row r="9" customFormat="false" ht="15" hidden="false" customHeight="false" outlineLevel="0" collapsed="false">
      <c r="A9" s="7" t="n">
        <v>1</v>
      </c>
      <c r="B9" s="8" t="s">
        <v>14</v>
      </c>
      <c r="C9" s="8" t="s">
        <v>15</v>
      </c>
      <c r="D9" s="9" t="n">
        <v>95000</v>
      </c>
      <c r="E9" s="10" t="n">
        <v>12</v>
      </c>
      <c r="F9" s="11" t="n">
        <f aca="false">IF(E9&gt;$D$6,D9*$D$5,0)</f>
        <v>9500</v>
      </c>
      <c r="G9" s="11" t="n">
        <f aca="false">D9+F9</f>
        <v>104500</v>
      </c>
      <c r="H9" s="11" t="n">
        <f aca="false">ROUND(G9*$D$4,2)</f>
        <v>13585</v>
      </c>
      <c r="I9" s="11" t="n">
        <f aca="false">G9-H9</f>
        <v>90915</v>
      </c>
    </row>
    <row r="10" customFormat="false" ht="15" hidden="false" customHeight="false" outlineLevel="0" collapsed="false">
      <c r="A10" s="7" t="n">
        <v>2</v>
      </c>
      <c r="B10" s="8" t="s">
        <v>16</v>
      </c>
      <c r="C10" s="8" t="s">
        <v>17</v>
      </c>
      <c r="D10" s="9" t="n">
        <v>78000</v>
      </c>
      <c r="E10" s="10" t="n">
        <v>7</v>
      </c>
      <c r="F10" s="11" t="n">
        <f aca="false">IF(E10&gt;$D$6,D10*$D$5,0)</f>
        <v>7800</v>
      </c>
      <c r="G10" s="11" t="n">
        <f aca="false">D10+F10</f>
        <v>85800</v>
      </c>
      <c r="H10" s="11" t="n">
        <f aca="false">ROUND(G10*$D$4,2)</f>
        <v>11154</v>
      </c>
      <c r="I10" s="11" t="n">
        <f aca="false">G10-H10</f>
        <v>74646</v>
      </c>
    </row>
    <row r="11" customFormat="false" ht="15" hidden="false" customHeight="false" outlineLevel="0" collapsed="false">
      <c r="A11" s="7" t="n">
        <v>3</v>
      </c>
      <c r="B11" s="8" t="s">
        <v>18</v>
      </c>
      <c r="C11" s="8" t="s">
        <v>19</v>
      </c>
      <c r="D11" s="9" t="n">
        <v>65000</v>
      </c>
      <c r="E11" s="10" t="n">
        <v>3</v>
      </c>
      <c r="F11" s="11" t="n">
        <f aca="false">IF(E11&gt;$D$6,D11*$D$5,0)</f>
        <v>0</v>
      </c>
      <c r="G11" s="11" t="n">
        <f aca="false">D11+F11</f>
        <v>65000</v>
      </c>
      <c r="H11" s="11" t="n">
        <f aca="false">ROUND(G11*$D$4,2)</f>
        <v>8450</v>
      </c>
      <c r="I11" s="11" t="n">
        <f aca="false">G11-H11</f>
        <v>56550</v>
      </c>
    </row>
    <row r="12" customFormat="false" ht="15" hidden="false" customHeight="false" outlineLevel="0" collapsed="false">
      <c r="A12" s="7" t="n">
        <v>4</v>
      </c>
      <c r="B12" s="8" t="s">
        <v>20</v>
      </c>
      <c r="C12" s="8" t="s">
        <v>21</v>
      </c>
      <c r="D12" s="9" t="n">
        <v>58000</v>
      </c>
      <c r="E12" s="10" t="n">
        <v>6</v>
      </c>
      <c r="F12" s="11" t="n">
        <f aca="false">IF(E12&gt;$D$6,D12*$D$5,0)</f>
        <v>5800</v>
      </c>
      <c r="G12" s="11" t="n">
        <f aca="false">D12+F12</f>
        <v>63800</v>
      </c>
      <c r="H12" s="11" t="n">
        <f aca="false">ROUND(G12*$D$4,2)</f>
        <v>8294</v>
      </c>
      <c r="I12" s="11" t="n">
        <f aca="false">G12-H12</f>
        <v>55506</v>
      </c>
    </row>
    <row r="13" customFormat="false" ht="15" hidden="false" customHeight="false" outlineLevel="0" collapsed="false">
      <c r="A13" s="7" t="n">
        <v>5</v>
      </c>
      <c r="B13" s="8" t="s">
        <v>22</v>
      </c>
      <c r="C13" s="8" t="s">
        <v>23</v>
      </c>
      <c r="D13" s="9" t="n">
        <v>62000</v>
      </c>
      <c r="E13" s="10" t="n">
        <v>5</v>
      </c>
      <c r="F13" s="11" t="n">
        <f aca="false">IF(E13&gt;$D$6,D13*$D$5,0)</f>
        <v>0</v>
      </c>
      <c r="G13" s="11" t="n">
        <f aca="false">D13+F13</f>
        <v>62000</v>
      </c>
      <c r="H13" s="11" t="n">
        <f aca="false">ROUND(G13*$D$4,2)</f>
        <v>8060</v>
      </c>
      <c r="I13" s="11" t="n">
        <f aca="false">G13-H13</f>
        <v>53940</v>
      </c>
    </row>
    <row r="14" customFormat="false" ht="15" hidden="false" customHeight="false" outlineLevel="0" collapsed="false">
      <c r="A14" s="7" t="n">
        <v>6</v>
      </c>
      <c r="B14" s="8" t="s">
        <v>24</v>
      </c>
      <c r="C14" s="8" t="s">
        <v>25</v>
      </c>
      <c r="D14" s="9" t="n">
        <v>55000</v>
      </c>
      <c r="E14" s="10" t="n">
        <v>2</v>
      </c>
      <c r="F14" s="11" t="n">
        <f aca="false">IF(E14&gt;$D$6,D14*$D$5,0)</f>
        <v>0</v>
      </c>
      <c r="G14" s="11" t="n">
        <f aca="false">D14+F14</f>
        <v>55000</v>
      </c>
      <c r="H14" s="11" t="n">
        <f aca="false">ROUND(G14*$D$4,2)</f>
        <v>7150</v>
      </c>
      <c r="I14" s="11" t="n">
        <f aca="false">G14-H14</f>
        <v>47850</v>
      </c>
    </row>
    <row r="15" customFormat="false" ht="15" hidden="false" customHeight="false" outlineLevel="0" collapsed="false">
      <c r="A15" s="7" t="n">
        <v>7</v>
      </c>
      <c r="B15" s="8" t="s">
        <v>26</v>
      </c>
      <c r="C15" s="8" t="s">
        <v>27</v>
      </c>
      <c r="D15" s="9" t="n">
        <v>70000</v>
      </c>
      <c r="E15" s="10" t="n">
        <v>9</v>
      </c>
      <c r="F15" s="11" t="n">
        <f aca="false">IF(E15&gt;$D$6,D15*$D$5,0)</f>
        <v>7000</v>
      </c>
      <c r="G15" s="11" t="n">
        <f aca="false">D15+F15</f>
        <v>77000</v>
      </c>
      <c r="H15" s="11" t="n">
        <f aca="false">ROUND(G15*$D$4,2)</f>
        <v>10010</v>
      </c>
      <c r="I15" s="11" t="n">
        <f aca="false">G15-H15</f>
        <v>66990</v>
      </c>
    </row>
    <row r="16" customFormat="false" ht="15" hidden="false" customHeight="false" outlineLevel="0" collapsed="false">
      <c r="A16" s="7" t="n">
        <v>8</v>
      </c>
      <c r="B16" s="8" t="s">
        <v>28</v>
      </c>
      <c r="C16" s="8" t="s">
        <v>29</v>
      </c>
      <c r="D16" s="9" t="n">
        <v>42000</v>
      </c>
      <c r="E16" s="10" t="n">
        <v>1</v>
      </c>
      <c r="F16" s="11" t="n">
        <f aca="false">IF(E16&gt;$D$6,D16*$D$5,0)</f>
        <v>0</v>
      </c>
      <c r="G16" s="11" t="n">
        <f aca="false">D16+F16</f>
        <v>42000</v>
      </c>
      <c r="H16" s="11" t="n">
        <f aca="false">ROUND(G16*$D$4,2)</f>
        <v>5460</v>
      </c>
      <c r="I16" s="11" t="n">
        <f aca="false">G16-H16</f>
        <v>36540</v>
      </c>
    </row>
    <row r="17" customFormat="false" ht="15" hidden="false" customHeight="false" outlineLevel="0" collapsed="false">
      <c r="A17" s="7" t="n">
        <v>9</v>
      </c>
      <c r="B17" s="8" t="s">
        <v>30</v>
      </c>
      <c r="C17" s="8" t="s">
        <v>19</v>
      </c>
      <c r="D17" s="9" t="n">
        <v>67000</v>
      </c>
      <c r="E17" s="10" t="n">
        <v>4</v>
      </c>
      <c r="F17" s="11" t="n">
        <f aca="false">IF(E17&gt;$D$6,D17*$D$5,0)</f>
        <v>0</v>
      </c>
      <c r="G17" s="11" t="n">
        <f aca="false">D17+F17</f>
        <v>67000</v>
      </c>
      <c r="H17" s="11" t="n">
        <f aca="false">ROUND(G17*$D$4,2)</f>
        <v>8710</v>
      </c>
      <c r="I17" s="11" t="n">
        <f aca="false">G17-H17</f>
        <v>58290</v>
      </c>
    </row>
    <row r="18" customFormat="false" ht="15" hidden="false" customHeight="false" outlineLevel="0" collapsed="false">
      <c r="A18" s="7" t="n">
        <v>10</v>
      </c>
      <c r="B18" s="8" t="s">
        <v>31</v>
      </c>
      <c r="C18" s="8" t="s">
        <v>32</v>
      </c>
      <c r="D18" s="9" t="n">
        <v>60000</v>
      </c>
      <c r="E18" s="10" t="n">
        <v>8</v>
      </c>
      <c r="F18" s="11" t="n">
        <f aca="false">IF(E18&gt;$D$6,D18*$D$5,0)</f>
        <v>6000</v>
      </c>
      <c r="G18" s="11" t="n">
        <f aca="false">D18+F18</f>
        <v>66000</v>
      </c>
      <c r="H18" s="11" t="n">
        <f aca="false">ROUND(G18*$D$4,2)</f>
        <v>8580</v>
      </c>
      <c r="I18" s="11" t="n">
        <f aca="false">G18-H18</f>
        <v>57420</v>
      </c>
    </row>
    <row r="19" customFormat="false" ht="15" hidden="false" customHeight="false" outlineLevel="0" collapsed="false">
      <c r="A19" s="12"/>
      <c r="B19" s="13" t="s">
        <v>33</v>
      </c>
      <c r="C19" s="12"/>
      <c r="D19" s="14" t="n">
        <f aca="false">SUM(D9:D18)</f>
        <v>652000</v>
      </c>
      <c r="E19" s="12"/>
      <c r="F19" s="14" t="n">
        <f aca="false">SUM(F9:F18)</f>
        <v>36100</v>
      </c>
      <c r="G19" s="14" t="n">
        <f aca="false">SUM(G9:G18)</f>
        <v>688100</v>
      </c>
      <c r="H19" s="14" t="n">
        <f aca="false">SUM(H9:H18)</f>
        <v>89453</v>
      </c>
      <c r="I19" s="14" t="n">
        <f aca="false">SUM(I9:I18)</f>
        <v>598647</v>
      </c>
    </row>
    <row r="21" customFormat="false" ht="15" hidden="false" customHeight="false" outlineLevel="0" collapsed="false">
      <c r="A21" s="2" t="s">
        <v>34</v>
      </c>
    </row>
    <row r="22" customFormat="false" ht="15" hidden="false" customHeight="false" outlineLevel="0" collapsed="false">
      <c r="A22" s="15" t="s">
        <v>35</v>
      </c>
    </row>
    <row r="23" customFormat="false" ht="15" hidden="false" customHeight="false" outlineLevel="0" collapsed="false">
      <c r="A23" s="15" t="s">
        <v>36</v>
      </c>
    </row>
    <row r="24" customFormat="false" ht="15" hidden="false" customHeight="false" outlineLevel="0" collapsed="false">
      <c r="A24" s="15" t="s">
        <v>37</v>
      </c>
    </row>
    <row r="25" customFormat="false" ht="15" hidden="false" customHeight="false" outlineLevel="0" collapsed="false">
      <c r="A25" s="15" t="s">
        <v>38</v>
      </c>
    </row>
  </sheetData>
  <mergeCells count="3">
    <mergeCell ref="A4:C4"/>
    <mergeCell ref="A5:C5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2026-10-29T21:55:51Z</dcterms:created>
  <dc:creator>openpyxl</dc:creator>
  <dc:description/>
  <dc:language>en-US</dc:language>
  <cp:lastModifiedBy/>
  <dcterms:modified xsi:type="dcterms:W3CDTF">2026-10-29T21:55:53Z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