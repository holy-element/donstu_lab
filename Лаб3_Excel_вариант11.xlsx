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Ведомость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<sst xmlns="http://schemas.openxmlformats.org/spreadsheetml/2006/main" count="35" uniqueCount="34">
  <si>
    <t xml:space="preserve">Ведомость расчёта заработной платы отдела</t>
  </si>
  <si>
    <t xml:space="preserve">№</t>
  </si>
  <si>
    <t xml:space="preserve">Ф.И.О.</t>
  </si>
  <si>
    <t xml:space="preserve">Должность</t>
  </si>
  <si>
    <t xml:space="preserve">Оклад, руб.</t>
  </si>
  <si>
    <t xml:space="preserve">Стаж, лет</t>
  </si>
  <si>
    <t xml:space="preserve">Надбавка, руб.</t>
  </si>
  <si>
    <t xml:space="preserve">Начислено, руб.</t>
  </si>
  <si>
    <t xml:space="preserve">Подоходный налог 13 %, руб.</t>
  </si>
  <si>
    <t xml:space="preserve">К выдаче, руб.</t>
  </si>
  <si>
    <t xml:space="preserve">Крамаренко Олег Витальевич</t>
  </si>
  <si>
    <t xml:space="preserve">Начальник отдела</t>
  </si>
  <si>
    <t xml:space="preserve">Шевченко Марина Игоревна</t>
  </si>
  <si>
    <t xml:space="preserve">Ведущий инженер</t>
  </si>
  <si>
    <t xml:space="preserve">Дьяченко Павел Сергеевич</t>
  </si>
  <si>
    <t xml:space="preserve">Инженер-программист</t>
  </si>
  <si>
    <t xml:space="preserve">Тищенко Алина Романовна</t>
  </si>
  <si>
    <t xml:space="preserve">Бухгалтер</t>
  </si>
  <si>
    <t xml:space="preserve">Гончаров Артём Николаевич</t>
  </si>
  <si>
    <t xml:space="preserve">Системный администратор</t>
  </si>
  <si>
    <t xml:space="preserve">Лысенко Виктория Андреевна</t>
  </si>
  <si>
    <t xml:space="preserve">Экономист</t>
  </si>
  <si>
    <t xml:space="preserve">Рябов Константин Юрьевич</t>
  </si>
  <si>
    <t xml:space="preserve">Аналитик</t>
  </si>
  <si>
    <t xml:space="preserve">Назаренко Елена Павловна</t>
  </si>
  <si>
    <t xml:space="preserve">Секретарь</t>
  </si>
  <si>
    <t xml:space="preserve">Билык Денис Александрович</t>
  </si>
  <si>
    <t xml:space="preserve">Золотарёв Иван Михайлович</t>
  </si>
  <si>
    <t xml:space="preserve">Юрисконсульт</t>
  </si>
  <si>
    <t xml:space="preserve">ИТОГО</t>
  </si>
  <si>
    <t xml:space="preserve">Условия расчёта:</t>
  </si>
  <si>
    <t xml:space="preserve">Подоходный налог — 13 % от начисленной суммы (оклад + надбавка).</t>
  </si>
  <si>
    <t xml:space="preserve">Надбавка — 10 % от оклада, если стаж работы более 5 лет.</t>
  </si>
  <si>
    <t xml:space="preserve">К выдаче = начислено − подоходный налог.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</si>
</sst>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Заработная плата сотрудников (к выдаче)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Ведомость!I3</c:f>
              <c:strCache>
                <c:ptCount val="1"/>
                <c:pt idx="0">
                  <c:v>К выдаче, руб.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Ведомость!$B$4:$B$13</c:f>
              <c:strCache>
                <c:ptCount val="10"/>
                <c:pt idx="0">
                  <c:v>Крамаренко Олег Витальевич</c:v>
                </c:pt>
                <c:pt idx="1">
                  <c:v>Шевченко Марина Игоревна</c:v>
                </c:pt>
                <c:pt idx="2">
                  <c:v>Дьяченко Павел Сергеевич</c:v>
                </c:pt>
                <c:pt idx="3">
                  <c:v>Тищенко Алина Романовна</c:v>
                </c:pt>
                <c:pt idx="4">
                  <c:v>Гончаров Артём Николаевич</c:v>
                </c:pt>
                <c:pt idx="5">
                  <c:v>Лысенко Виктория Андреевна</c:v>
                </c:pt>
                <c:pt idx="6">
                  <c:v>Рябов Константин Юрьевич</c:v>
                </c:pt>
                <c:pt idx="7">
                  <c:v>Назаренко Елена Павловна</c:v>
                </c:pt>
                <c:pt idx="8">
                  <c:v>Билык Денис Александрович</c:v>
                </c:pt>
                <c:pt idx="9">
                  <c:v>Золотарёв Иван Михайлович</c:v>
                </c:pt>
              </c:strCache>
            </c:strRef>
          </c:cat>
          <c:val>
            <c:numRef>
              <c:f>Ведомость!$I$4:$I$13</c:f>
              <c:numCache>
                <c:formatCode>#,##0.00</c:formatCode>
                <c:ptCount val="10"/>
                <c:pt idx="0">
                  <c:v>90915</c:v>
                </c:pt>
                <c:pt idx="1">
                  <c:v>74646</c:v>
                </c:pt>
                <c:pt idx="2">
                  <c:v>56550</c:v>
                </c:pt>
                <c:pt idx="3">
                  <c:v>55506</c:v>
                </c:pt>
                <c:pt idx="4">
                  <c:v>53940</c:v>
                </c:pt>
                <c:pt idx="5">
                  <c:v>47850</c:v>
                </c:pt>
                <c:pt idx="6">
                  <c:v>66990</c:v>
                </c:pt>
                <c:pt idx="7">
                  <c:v>36540</c:v>
                </c:pt>
                <c:pt idx="8">
                  <c:v>58290</c:v>
                </c:pt>
                <c:pt idx="9">
                  <c:v>57420</c:v>
                </c:pt>
              </c:numCache>
            </c:numRef>
          </c:val>
        </c:ser>
        <c:gapWidth val="150"/>
        <c:overlap val="0"/>
        <c:axId val="61360775"/>
        <c:axId val="86078983"/>
      </c:barChart>
      <c:catAx>
        <c:axId val="6136077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Сотрудники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078983"/>
        <c:crosses val="autoZero"/>
        <c:auto val="1"/>
        <c:lblAlgn val="ctr"/>
        <c:lblOffset val="100"/>
        <c:noMultiLvlLbl val="0"/>
      </c:catAx>
      <c:valAx>
        <c:axId val="860789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руб.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3607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20</xdr:row>
      <xdr:rowOff>160560</xdr:rowOff>
    </xdr:from>
    <xdr:to>
      <xdr:col>7</xdr:col>
      <xdr:colOff>619560</xdr:colOff>
      <xdr:row>41</xdr:row>
      <xdr:rowOff>119880</xdr:rowOff>
    </xdr:to>
    <xdr:graphicFrame>
      <xdr:nvGraphicFramePr>
        <xdr:cNvPr id="0" name="Chart 1"/>
        <xdr:cNvGraphicFramePr/>
      </xdr:nvGraphicFramePr>
      <xdr:xfrm>
        <a:off x="0" y="438156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3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4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</row>
    <row r="4" customFormat="false" ht="15" hidden="false" customHeight="false" outlineLevel="0" collapsed="false">
      <c r="A4" s="3" t="n">
        <v>1</v>
      </c>
      <c r="B4" s="4" t="s">
        <v>10</v>
      </c>
      <c r="C4" s="4" t="s">
        <v>11</v>
      </c>
      <c r="D4" s="5" t="n">
        <v>95000</v>
      </c>
      <c r="E4" s="3" t="n">
        <v>12</v>
      </c>
      <c r="F4" s="5" t="n">
        <f aca="false">IF(E4&gt;5,D4*0.1,0)</f>
        <v>9500</v>
      </c>
      <c r="G4" s="5" t="n">
        <f aca="false">D4+F4</f>
        <v>104500</v>
      </c>
      <c r="H4" s="5" t="n">
        <f aca="false">ROUND(G4*0.13,2)</f>
        <v>13585</v>
      </c>
      <c r="I4" s="5" t="n">
        <f aca="false">G4-H4</f>
        <v>90915</v>
      </c>
    </row>
    <row r="5" customFormat="false" ht="15" hidden="false" customHeight="false" outlineLevel="0" collapsed="false">
      <c r="A5" s="3" t="n">
        <v>2</v>
      </c>
      <c r="B5" s="4" t="s">
        <v>12</v>
      </c>
      <c r="C5" s="4" t="s">
        <v>13</v>
      </c>
      <c r="D5" s="5" t="n">
        <v>78000</v>
      </c>
      <c r="E5" s="3" t="n">
        <v>7</v>
      </c>
      <c r="F5" s="5" t="n">
        <f aca="false">IF(E5&gt;5,D5*0.1,0)</f>
        <v>7800</v>
      </c>
      <c r="G5" s="5" t="n">
        <f aca="false">D5+F5</f>
        <v>85800</v>
      </c>
      <c r="H5" s="5" t="n">
        <f aca="false">ROUND(G5*0.13,2)</f>
        <v>11154</v>
      </c>
      <c r="I5" s="5" t="n">
        <f aca="false">G5-H5</f>
        <v>74646</v>
      </c>
    </row>
    <row r="6" customFormat="false" ht="15" hidden="false" customHeight="false" outlineLevel="0" collapsed="false">
      <c r="A6" s="3" t="n">
        <v>3</v>
      </c>
      <c r="B6" s="4" t="s">
        <v>14</v>
      </c>
      <c r="C6" s="4" t="s">
        <v>15</v>
      </c>
      <c r="D6" s="5" t="n">
        <v>65000</v>
      </c>
      <c r="E6" s="3" t="n">
        <v>3</v>
      </c>
      <c r="F6" s="5" t="n">
        <f aca="false">IF(E6&gt;5,D6*0.1,0)</f>
        <v>0</v>
      </c>
      <c r="G6" s="5" t="n">
        <f aca="false">D6+F6</f>
        <v>65000</v>
      </c>
      <c r="H6" s="5" t="n">
        <f aca="false">ROUND(G6*0.13,2)</f>
        <v>8450</v>
      </c>
      <c r="I6" s="5" t="n">
        <f aca="false">G6-H6</f>
        <v>56550</v>
      </c>
    </row>
    <row r="7" customFormat="false" ht="15" hidden="false" customHeight="false" outlineLevel="0" collapsed="false">
      <c r="A7" s="3" t="n">
        <v>4</v>
      </c>
      <c r="B7" s="4" t="s">
        <v>16</v>
      </c>
      <c r="C7" s="4" t="s">
        <v>17</v>
      </c>
      <c r="D7" s="5" t="n">
        <v>58000</v>
      </c>
      <c r="E7" s="3" t="n">
        <v>6</v>
      </c>
      <c r="F7" s="5" t="n">
        <f aca="false">IF(E7&gt;5,D7*0.1,0)</f>
        <v>5800</v>
      </c>
      <c r="G7" s="5" t="n">
        <f aca="false">D7+F7</f>
        <v>63800</v>
      </c>
      <c r="H7" s="5" t="n">
        <f aca="false">ROUND(G7*0.13,2)</f>
        <v>8294</v>
      </c>
      <c r="I7" s="5" t="n">
        <f aca="false">G7-H7</f>
        <v>55506</v>
      </c>
    </row>
    <row r="8" customFormat="false" ht="15" hidden="false" customHeight="false" outlineLevel="0" collapsed="false">
      <c r="A8" s="3" t="n">
        <v>5</v>
      </c>
      <c r="B8" s="4" t="s">
        <v>18</v>
      </c>
      <c r="C8" s="4" t="s">
        <v>19</v>
      </c>
      <c r="D8" s="5" t="n">
        <v>62000</v>
      </c>
      <c r="E8" s="3" t="n">
        <v>5</v>
      </c>
      <c r="F8" s="5" t="n">
        <f aca="false">IF(E8&gt;5,D8*0.1,0)</f>
        <v>0</v>
      </c>
      <c r="G8" s="5" t="n">
        <f aca="false">D8+F8</f>
        <v>62000</v>
      </c>
      <c r="H8" s="5" t="n">
        <f aca="false">ROUND(G8*0.13,2)</f>
        <v>8060</v>
      </c>
      <c r="I8" s="5" t="n">
        <f aca="false">G8-H8</f>
        <v>53940</v>
      </c>
    </row>
    <row r="9" customFormat="false" ht="15" hidden="false" customHeight="false" outlineLevel="0" collapsed="false">
      <c r="A9" s="3" t="n">
        <v>6</v>
      </c>
      <c r="B9" s="4" t="s">
        <v>20</v>
      </c>
      <c r="C9" s="4" t="s">
        <v>21</v>
      </c>
      <c r="D9" s="5" t="n">
        <v>55000</v>
      </c>
      <c r="E9" s="3" t="n">
        <v>2</v>
      </c>
      <c r="F9" s="5" t="n">
        <f aca="false">IF(E9&gt;5,D9*0.1,0)</f>
        <v>0</v>
      </c>
      <c r="G9" s="5" t="n">
        <f aca="false">D9+F9</f>
        <v>55000</v>
      </c>
      <c r="H9" s="5" t="n">
        <f aca="false">ROUND(G9*0.13,2)</f>
        <v>7150</v>
      </c>
      <c r="I9" s="5" t="n">
        <f aca="false">G9-H9</f>
        <v>47850</v>
      </c>
    </row>
    <row r="10" customFormat="false" ht="15" hidden="false" customHeight="false" outlineLevel="0" collapsed="false">
      <c r="A10" s="3" t="n">
        <v>7</v>
      </c>
      <c r="B10" s="4" t="s">
        <v>22</v>
      </c>
      <c r="C10" s="4" t="s">
        <v>23</v>
      </c>
      <c r="D10" s="5" t="n">
        <v>70000</v>
      </c>
      <c r="E10" s="3" t="n">
        <v>9</v>
      </c>
      <c r="F10" s="5" t="n">
        <f aca="false">IF(E10&gt;5,D10*0.1,0)</f>
        <v>7000</v>
      </c>
      <c r="G10" s="5" t="n">
        <f aca="false">D10+F10</f>
        <v>77000</v>
      </c>
      <c r="H10" s="5" t="n">
        <f aca="false">ROUND(G10*0.13,2)</f>
        <v>10010</v>
      </c>
      <c r="I10" s="5" t="n">
        <f aca="false">G10-H10</f>
        <v>66990</v>
      </c>
    </row>
    <row r="11" customFormat="false" ht="15" hidden="false" customHeight="false" outlineLevel="0" collapsed="false">
      <c r="A11" s="3" t="n">
        <v>8</v>
      </c>
      <c r="B11" s="4" t="s">
        <v>24</v>
      </c>
      <c r="C11" s="4" t="s">
        <v>25</v>
      </c>
      <c r="D11" s="5" t="n">
        <v>42000</v>
      </c>
      <c r="E11" s="3" t="n">
        <v>1</v>
      </c>
      <c r="F11" s="5" t="n">
        <f aca="false">IF(E11&gt;5,D11*0.1,0)</f>
        <v>0</v>
      </c>
      <c r="G11" s="5" t="n">
        <f aca="false">D11+F11</f>
        <v>42000</v>
      </c>
      <c r="H11" s="5" t="n">
        <f aca="false">ROUND(G11*0.13,2)</f>
        <v>5460</v>
      </c>
      <c r="I11" s="5" t="n">
        <f aca="false">G11-H11</f>
        <v>36540</v>
      </c>
    </row>
    <row r="12" customFormat="false" ht="15" hidden="false" customHeight="false" outlineLevel="0" collapsed="false">
      <c r="A12" s="3" t="n">
        <v>9</v>
      </c>
      <c r="B12" s="4" t="s">
        <v>26</v>
      </c>
      <c r="C12" s="4" t="s">
        <v>15</v>
      </c>
      <c r="D12" s="5" t="n">
        <v>67000</v>
      </c>
      <c r="E12" s="3" t="n">
        <v>4</v>
      </c>
      <c r="F12" s="5" t="n">
        <f aca="false">IF(E12&gt;5,D12*0.1,0)</f>
        <v>0</v>
      </c>
      <c r="G12" s="5" t="n">
        <f aca="false">D12+F12</f>
        <v>67000</v>
      </c>
      <c r="H12" s="5" t="n">
        <f aca="false">ROUND(G12*0.13,2)</f>
        <v>8710</v>
      </c>
      <c r="I12" s="5" t="n">
        <f aca="false">G12-H12</f>
        <v>58290</v>
      </c>
    </row>
    <row r="13" customFormat="false" ht="15" hidden="false" customHeight="false" outlineLevel="0" collapsed="false">
      <c r="A13" s="3" t="n">
        <v>10</v>
      </c>
      <c r="B13" s="4" t="s">
        <v>27</v>
      </c>
      <c r="C13" s="4" t="s">
        <v>28</v>
      </c>
      <c r="D13" s="5" t="n">
        <v>60000</v>
      </c>
      <c r="E13" s="3" t="n">
        <v>8</v>
      </c>
      <c r="F13" s="5" t="n">
        <f aca="false">IF(E13&gt;5,D13*0.1,0)</f>
        <v>6000</v>
      </c>
      <c r="G13" s="5" t="n">
        <f aca="false">D13+F13</f>
        <v>66000</v>
      </c>
      <c r="H13" s="5" t="n">
        <f aca="false">ROUND(G13*0.13,2)</f>
        <v>8580</v>
      </c>
      <c r="I13" s="5" t="n">
        <f aca="false">G13-H13</f>
        <v>57420</v>
      </c>
    </row>
    <row r="14" customFormat="false" ht="15" hidden="false" customHeight="false" outlineLevel="0" collapsed="false">
      <c r="A14" s="6"/>
      <c r="B14" s="6" t="s">
        <v>29</v>
      </c>
      <c r="C14" s="6"/>
      <c r="D14" s="7" t="n">
        <f aca="false">SUM(D4:D13)</f>
        <v>652000</v>
      </c>
      <c r="E14" s="6"/>
      <c r="F14" s="7" t="n">
        <f aca="false">SUM(F4:F13)</f>
        <v>36100</v>
      </c>
      <c r="G14" s="7" t="n">
        <f aca="false">SUM(G4:G13)</f>
        <v>688100</v>
      </c>
      <c r="H14" s="7" t="n">
        <f aca="false">SUM(H4:H13)</f>
        <v>89453</v>
      </c>
      <c r="I14" s="7" t="n">
        <f aca="false">SUM(I4:I13)</f>
        <v>598647</v>
      </c>
    </row>
    <row r="16" customFormat="false" ht="15" hidden="false" customHeight="false" outlineLevel="0" collapsed="false">
      <c r="A16" s="8" t="s">
        <v>30</v>
      </c>
    </row>
    <row r="17" customFormat="false" ht="15" hidden="false" customHeight="false" outlineLevel="0" collapsed="false">
      <c r="A17" s="9" t="s">
        <v>31</v>
      </c>
    </row>
    <row r="18" customFormat="false" ht="15" hidden="false" customHeight="false" outlineLevel="0" collapsed="false">
      <c r="A18" s="9" t="s">
        <v>32</v>
      </c>
    </row>
    <row r="19" customFormat="false" ht="15" hidden="false" customHeight="false" outlineLevel="0" collapsed="false">
      <c r="A19" s="9" t="s">
        <v>33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2026-10-30T10:56:13Z</dcterms:created>
  <dc:creator>openpyxl</dc:creator>
  <dc:description/>
  <dc:language>en-US</dc:language>
  <cp:lastModifiedBy/>
  <dcterms:modified xsi:type="dcterms:W3CDTF">2026-10-30T10:56:15Z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